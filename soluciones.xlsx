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https://ceu365-my.sharepoint.com/personal/asalber_ceu_es/Documents/"/>
    </mc:Choice>
  </mc:AlternateContent>
  <xr:revisionPtr revIDLastSave="0" documentId="8_{35A37B39-1725-4E39-8AE6-523674FB9691}" xr6:coauthVersionLast="47" xr6:coauthVersionMax="47" xr10:uidLastSave="{00000000-0000-0000-0000-000000000000}"/>
  <bookViews>
    <workbookView xWindow="-90" yWindow="-90" windowWidth="19380" windowHeight="10260" firstSheet="1" activeTab="16" xr2:uid="{4F73E1E8-AEEB-46FA-85F6-1B58A425B0CB}"/>
  </bookViews>
  <sheets>
    <sheet name="Ej.1.4" sheetId="9" r:id="rId1"/>
    <sheet name="Ej.1.5" sheetId="8" r:id="rId2"/>
    <sheet name="Ej.1.6" sheetId="10" r:id="rId3"/>
    <sheet name="Ej.1.7" sheetId="1" r:id="rId4"/>
    <sheet name="Ej.1.8" sheetId="11" r:id="rId5"/>
    <sheet name="Ej.1.9" sheetId="12" r:id="rId6"/>
    <sheet name="Ej.1.10" sheetId="13" r:id="rId7"/>
    <sheet name="Ej.1.11" sheetId="14" r:id="rId8"/>
    <sheet name="Ej.1.12" sheetId="15" r:id="rId9"/>
    <sheet name="Ej.1.13" sheetId="2" r:id="rId10"/>
    <sheet name="Ej.1.14" sheetId="3" r:id="rId11"/>
    <sheet name="Ej.2.1" sheetId="4" r:id="rId12"/>
    <sheet name="Ej.2.2" sheetId="16" r:id="rId13"/>
    <sheet name="Ej.2.3" sheetId="17" r:id="rId14"/>
    <sheet name="Ej.2.4" sheetId="18" r:id="rId15"/>
    <sheet name="Ej.2.5" sheetId="5" r:id="rId16"/>
    <sheet name="Ej.2.6" sheetId="19" r:id="rId17"/>
    <sheet name="Ej.2.11" sheetId="7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9" l="1"/>
  <c r="B7" i="19"/>
  <c r="B5" i="19"/>
  <c r="B9" i="18"/>
  <c r="B6" i="18"/>
  <c r="B8" i="18" s="1"/>
  <c r="B9" i="17"/>
  <c r="B8" i="17"/>
  <c r="B8" i="16"/>
  <c r="B9" i="16" s="1"/>
  <c r="D6" i="5"/>
  <c r="F11" i="4"/>
  <c r="F8" i="4"/>
  <c r="F9" i="4"/>
  <c r="E7" i="2"/>
  <c r="B8" i="2"/>
  <c r="B6" i="2"/>
  <c r="B5" i="2"/>
  <c r="E8" i="7"/>
  <c r="E6" i="7"/>
  <c r="F9" i="15"/>
  <c r="F8" i="15"/>
  <c r="F7" i="15"/>
  <c r="F6" i="15"/>
  <c r="F5" i="15"/>
  <c r="F1" i="15"/>
  <c r="C3" i="15"/>
  <c r="C4" i="15"/>
  <c r="C5" i="15"/>
  <c r="C6" i="15"/>
  <c r="C7" i="15"/>
  <c r="C8" i="15"/>
  <c r="C9" i="15"/>
  <c r="C2" i="15"/>
  <c r="E5" i="14"/>
  <c r="E6" i="14" s="1"/>
  <c r="E3" i="14"/>
  <c r="B5" i="14"/>
  <c r="B6" i="14" s="1"/>
  <c r="B3" i="14"/>
  <c r="B8" i="13"/>
  <c r="B7" i="13"/>
  <c r="B6" i="13"/>
  <c r="B4" i="13"/>
  <c r="B3" i="13"/>
  <c r="B5" i="12"/>
  <c r="B6" i="12" s="1"/>
  <c r="B3" i="12"/>
  <c r="B5" i="11"/>
  <c r="B6" i="11" s="1"/>
  <c r="B3" i="11"/>
  <c r="E5" i="1"/>
  <c r="E4" i="1"/>
  <c r="E3" i="1"/>
  <c r="E9" i="10"/>
  <c r="E7" i="10"/>
  <c r="E8" i="10"/>
  <c r="E4" i="10"/>
  <c r="B5" i="10"/>
  <c r="B6" i="10" s="1"/>
  <c r="K1" i="8"/>
  <c r="K2" i="8"/>
  <c r="H5" i="8"/>
  <c r="H6" i="8" s="1"/>
  <c r="B5" i="8"/>
  <c r="B6" i="8" s="1"/>
  <c r="E4" i="9"/>
  <c r="B5" i="9"/>
  <c r="B6" i="9" s="1"/>
  <c r="B6" i="7"/>
  <c r="B5" i="7"/>
  <c r="D5" i="5"/>
  <c r="B9" i="4"/>
  <c r="B11" i="4" s="1"/>
  <c r="B8" i="4"/>
  <c r="G10" i="4" l="1"/>
  <c r="C10" i="4"/>
  <c r="B10" i="4"/>
  <c r="E3" i="2"/>
  <c r="B10" i="2"/>
  <c r="B12" i="2" s="1"/>
  <c r="B9" i="2"/>
  <c r="B11" i="2" s="1"/>
  <c r="E3" i="7"/>
  <c r="B8" i="7"/>
  <c r="B9" i="7" s="1"/>
  <c r="E4" i="7"/>
  <c r="F3" i="15"/>
  <c r="F2" i="15"/>
  <c r="E8" i="14"/>
  <c r="E7" i="14"/>
  <c r="E9" i="14"/>
  <c r="B8" i="14"/>
  <c r="B7" i="14"/>
  <c r="B9" i="14"/>
  <c r="B8" i="12"/>
  <c r="B7" i="12"/>
  <c r="B9" i="12"/>
  <c r="B8" i="11"/>
  <c r="B7" i="11"/>
  <c r="B9" i="11"/>
  <c r="E1" i="11" s="1"/>
  <c r="E2" i="11" s="1"/>
  <c r="E6" i="10"/>
  <c r="E5" i="10"/>
  <c r="E6" i="9"/>
  <c r="E7" i="9" s="1"/>
  <c r="E5" i="9"/>
  <c r="E8" i="9" s="1"/>
  <c r="E9" i="9" s="1"/>
  <c r="B9" i="10"/>
  <c r="B8" i="10"/>
  <c r="B7" i="10"/>
  <c r="H9" i="8"/>
  <c r="H8" i="8"/>
  <c r="H7" i="8"/>
  <c r="B9" i="8"/>
  <c r="E1" i="8" s="1"/>
  <c r="E2" i="8" s="1"/>
  <c r="B8" i="8"/>
  <c r="B7" i="8"/>
  <c r="B9" i="9"/>
  <c r="B8" i="9"/>
  <c r="B7" i="9"/>
  <c r="E7" i="7" l="1"/>
  <c r="D8" i="5"/>
  <c r="D9" i="5" l="1"/>
  <c r="B10" i="3"/>
  <c r="B9" i="3"/>
  <c r="B8" i="3"/>
  <c r="B7" i="3"/>
  <c r="B6" i="3"/>
  <c r="E6" i="2"/>
  <c r="E4" i="2"/>
  <c r="B5" i="1"/>
  <c r="B6" i="1" s="1"/>
  <c r="B3" i="1"/>
  <c r="E10" i="2" l="1"/>
  <c r="E9" i="2"/>
  <c r="E8" i="2"/>
  <c r="B9" i="1"/>
  <c r="B7" i="1"/>
  <c r="B8" i="1"/>
</calcChain>
</file>

<file path=xl/sharedStrings.xml><?xml version="1.0" encoding="utf-8"?>
<sst xmlns="http://schemas.openxmlformats.org/spreadsheetml/2006/main" count="275" uniqueCount="67">
  <si>
    <t>n</t>
  </si>
  <si>
    <t>Media</t>
  </si>
  <si>
    <t xml:space="preserve">Cuasidesviación </t>
  </si>
  <si>
    <t>Confianza</t>
  </si>
  <si>
    <t>Significación</t>
  </si>
  <si>
    <t>Chi 1</t>
  </si>
  <si>
    <t>T</t>
  </si>
  <si>
    <t>Chi 2</t>
  </si>
  <si>
    <t>L1</t>
  </si>
  <si>
    <t>L2</t>
  </si>
  <si>
    <t>Error</t>
  </si>
  <si>
    <t>Cuasidesviación</t>
  </si>
  <si>
    <t>Frecuencia</t>
  </si>
  <si>
    <t>Proporción</t>
  </si>
  <si>
    <t>Z</t>
  </si>
  <si>
    <t>Antes</t>
  </si>
  <si>
    <t>Después</t>
  </si>
  <si>
    <t>Incremento</t>
  </si>
  <si>
    <t>n1</t>
  </si>
  <si>
    <t>Media 1</t>
  </si>
  <si>
    <t>n2</t>
  </si>
  <si>
    <t>Media 2</t>
  </si>
  <si>
    <t>Cuasidesviación 1</t>
  </si>
  <si>
    <t>Cuasivarianza ponderada</t>
  </si>
  <si>
    <t>Cuasidesviación 2</t>
  </si>
  <si>
    <t>Cuasivesviación ponderada</t>
  </si>
  <si>
    <t>Cuasivarianza 1</t>
  </si>
  <si>
    <t>Cuasivarianza2</t>
  </si>
  <si>
    <t>F1</t>
  </si>
  <si>
    <t>F2</t>
  </si>
  <si>
    <t>Proporción 1</t>
  </si>
  <si>
    <t>Proporción 2</t>
  </si>
  <si>
    <t>H0</t>
  </si>
  <si>
    <t>Media = 4,8</t>
  </si>
  <si>
    <t>H1</t>
  </si>
  <si>
    <t>Media != 4,8</t>
  </si>
  <si>
    <t>Media &gt; 4,8</t>
  </si>
  <si>
    <t>Media poblacional</t>
  </si>
  <si>
    <t>Media muestral</t>
  </si>
  <si>
    <t>Estadístico</t>
  </si>
  <si>
    <t xml:space="preserve">Región Aceptación </t>
  </si>
  <si>
    <t>inf</t>
  </si>
  <si>
    <t>p-valor</t>
  </si>
  <si>
    <t xml:space="preserve">Decisión </t>
  </si>
  <si>
    <t>Rechazar h0</t>
  </si>
  <si>
    <t>Media = 20</t>
  </si>
  <si>
    <t>Media &lt; 20</t>
  </si>
  <si>
    <t>Media = 2150</t>
  </si>
  <si>
    <t>Media != 2150</t>
  </si>
  <si>
    <t>p = 0,64</t>
  </si>
  <si>
    <t>p &gt; 0,64</t>
  </si>
  <si>
    <t>frecuencia</t>
  </si>
  <si>
    <t>proporción poblacional</t>
  </si>
  <si>
    <t>proporción muestral</t>
  </si>
  <si>
    <t>Decisión</t>
  </si>
  <si>
    <t>Rechazar H0</t>
  </si>
  <si>
    <t>Helado</t>
  </si>
  <si>
    <t>Media != 20</t>
  </si>
  <si>
    <t>Aceptar H0</t>
  </si>
  <si>
    <t>Varianza = 9</t>
  </si>
  <si>
    <t>Varianza != 9</t>
  </si>
  <si>
    <t>Varianza poblacional</t>
  </si>
  <si>
    <t>Cuasivarianza muestral</t>
  </si>
  <si>
    <t>Estadístico medias</t>
  </si>
  <si>
    <t>Estadístico varianzas</t>
  </si>
  <si>
    <t>p-valor medias</t>
  </si>
  <si>
    <t>p-valor varianzas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</si>
</sst>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E80C1-C519-48F1-B8FA-F22682BB26B6}">
  <dimension ref="A1:E9"/>
  <sheetViews>
    <sheetView workbookViewId="0">
      <selection activeCell="A7" sqref="A7:B9"/>
    </sheetView>
  </sheetViews>
  <sheetFormatPr defaultRowHeight="15"/>
  <cols>
    <col min="1" max="1" width="15.7109375" bestFit="1" customWidth="1"/>
    <col min="5" max="5" width="15.7109375" bestFit="1" customWidth="1"/>
  </cols>
  <sheetData>
    <row r="1" spans="1:5">
      <c r="A1" t="s">
        <v>0</v>
      </c>
      <c r="B1">
        <v>20</v>
      </c>
      <c r="D1" t="s">
        <v>0</v>
      </c>
      <c r="E1">
        <v>20</v>
      </c>
    </row>
    <row r="2" spans="1:5">
      <c r="A2" t="s">
        <v>1</v>
      </c>
      <c r="B2">
        <v>170.31</v>
      </c>
      <c r="D2" t="s">
        <v>2</v>
      </c>
      <c r="E2">
        <v>36</v>
      </c>
    </row>
    <row r="3" spans="1:5">
      <c r="A3" t="s">
        <v>2</v>
      </c>
      <c r="B3">
        <v>36</v>
      </c>
      <c r="D3" t="s">
        <v>3</v>
      </c>
      <c r="E3">
        <v>0.95</v>
      </c>
    </row>
    <row r="4" spans="1:5">
      <c r="A4" t="s">
        <v>3</v>
      </c>
      <c r="B4">
        <v>0.95</v>
      </c>
      <c r="D4" t="s">
        <v>4</v>
      </c>
      <c r="E4">
        <f>1-E3</f>
        <v>5.0000000000000044E-2</v>
      </c>
    </row>
    <row r="5" spans="1:5">
      <c r="A5" t="s">
        <v>4</v>
      </c>
      <c r="B5">
        <f>1-B4</f>
        <v>5.0000000000000044E-2</v>
      </c>
      <c r="D5" t="s">
        <v>5</v>
      </c>
      <c r="E5">
        <f>_xlfn.CHISQ.INV(E4/2,E1-1)</f>
        <v>8.906516481987973</v>
      </c>
    </row>
    <row r="6" spans="1:5">
      <c r="A6" t="s">
        <v>6</v>
      </c>
      <c r="B6">
        <f>_xlfn.T.INV(B5/2,B1-1)</f>
        <v>-2.0930240544083087</v>
      </c>
      <c r="D6" t="s">
        <v>7</v>
      </c>
      <c r="E6">
        <f>_xlfn.CHISQ.INV.RT(E4/2,E1-1)</f>
        <v>32.852326861729708</v>
      </c>
    </row>
    <row r="7" spans="1:5">
      <c r="A7" t="s">
        <v>8</v>
      </c>
      <c r="B7">
        <f>B2+B6*B3/SQRT(B1)</f>
        <v>153.46148136888289</v>
      </c>
      <c r="D7" t="s">
        <v>8</v>
      </c>
      <c r="E7">
        <f>SQRT((E1-1)*E2^2/E6)</f>
        <v>27.377654195875472</v>
      </c>
    </row>
    <row r="8" spans="1:5">
      <c r="A8" t="s">
        <v>9</v>
      </c>
      <c r="B8">
        <f>B2-B6*B3/SQRT(B1)</f>
        <v>187.15851863111712</v>
      </c>
      <c r="D8" t="s">
        <v>9</v>
      </c>
      <c r="E8">
        <f>SQRT((E1-1)*E2^2/E5)</f>
        <v>52.58057890029189</v>
      </c>
    </row>
    <row r="9" spans="1:5">
      <c r="A9" t="s">
        <v>10</v>
      </c>
      <c r="B9">
        <f>ABS(B6*B3/SQRT(B1))</f>
        <v>16.848518631117109</v>
      </c>
      <c r="D9" t="s">
        <v>10</v>
      </c>
      <c r="E9">
        <f>E8-E2</f>
        <v>16.58057890029189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F8EC3-1A76-4D33-9211-23C72022F216}">
  <dimension ref="A1:K9"/>
  <sheetViews>
    <sheetView workbookViewId="0">
      <selection activeCell="A4" sqref="A4:B9"/>
    </sheetView>
  </sheetViews>
  <sheetFormatPr defaultRowHeight="15"/>
  <cols>
    <col min="1" max="1" width="15.28515625" bestFit="1" customWidth="1"/>
    <col min="7" max="7" width="15.28515625" bestFit="1" customWidth="1"/>
  </cols>
  <sheetData>
    <row r="1" spans="1:11">
      <c r="A1" t="s">
        <v>0</v>
      </c>
      <c r="B1">
        <v>50</v>
      </c>
      <c r="D1" t="s">
        <v>10</v>
      </c>
      <c r="E1">
        <f>B9/2</f>
        <v>1.5630827052265137</v>
      </c>
      <c r="G1" t="s">
        <v>0</v>
      </c>
      <c r="H1">
        <v>50</v>
      </c>
      <c r="J1" t="s">
        <v>10</v>
      </c>
      <c r="K1">
        <f>H9/3</f>
        <v>1.3896756234600369</v>
      </c>
    </row>
    <row r="2" spans="1:11">
      <c r="A2" t="s">
        <v>1</v>
      </c>
      <c r="B2">
        <v>47</v>
      </c>
      <c r="D2" t="s">
        <v>0</v>
      </c>
      <c r="E2">
        <f>B6^2*B3^2/E1^2</f>
        <v>200.00000000000006</v>
      </c>
      <c r="G2" t="s">
        <v>1</v>
      </c>
      <c r="H2">
        <v>47</v>
      </c>
      <c r="J2" t="s">
        <v>0</v>
      </c>
      <c r="K2">
        <f>H6^2*H3^2/K1^2</f>
        <v>450.00000000000011</v>
      </c>
    </row>
    <row r="3" spans="1:11">
      <c r="A3" t="s">
        <v>11</v>
      </c>
      <c r="B3">
        <v>11</v>
      </c>
      <c r="G3" t="s">
        <v>11</v>
      </c>
      <c r="H3">
        <v>11</v>
      </c>
    </row>
    <row r="4" spans="1:11">
      <c r="A4" t="s">
        <v>3</v>
      </c>
      <c r="B4">
        <v>0.95</v>
      </c>
      <c r="G4" t="s">
        <v>3</v>
      </c>
      <c r="H4">
        <v>0.99</v>
      </c>
    </row>
    <row r="5" spans="1:11">
      <c r="A5" t="s">
        <v>4</v>
      </c>
      <c r="B5">
        <f>1-B4</f>
        <v>5.0000000000000044E-2</v>
      </c>
      <c r="G5" t="s">
        <v>4</v>
      </c>
      <c r="H5">
        <f>1-H4</f>
        <v>1.0000000000000009E-2</v>
      </c>
    </row>
    <row r="6" spans="1:11">
      <c r="A6" t="s">
        <v>6</v>
      </c>
      <c r="B6">
        <f>_xlfn.T.INV(B5/2,B1-1)</f>
        <v>-2.0095752371292388</v>
      </c>
      <c r="G6" t="s">
        <v>6</v>
      </c>
      <c r="H6">
        <f>_xlfn.T.INV(H5/2,H1-1)</f>
        <v>-2.6799519736315514</v>
      </c>
    </row>
    <row r="7" spans="1:11">
      <c r="A7" t="s">
        <v>8</v>
      </c>
      <c r="B7">
        <f>B2+B6*B3/SQRT(B1)</f>
        <v>43.873834589546973</v>
      </c>
      <c r="G7" t="s">
        <v>8</v>
      </c>
      <c r="H7">
        <f>H2+H6*H3/SQRT(H1)</f>
        <v>42.830973129619892</v>
      </c>
    </row>
    <row r="8" spans="1:11">
      <c r="A8" t="s">
        <v>9</v>
      </c>
      <c r="B8">
        <f>B2-B6*B3/SQRT(B1)</f>
        <v>50.126165410453027</v>
      </c>
      <c r="G8" t="s">
        <v>9</v>
      </c>
      <c r="H8">
        <f>H2-H6*H3/SQRT(H1)</f>
        <v>51.169026870380108</v>
      </c>
    </row>
    <row r="9" spans="1:11">
      <c r="A9" t="s">
        <v>10</v>
      </c>
      <c r="B9">
        <f>ABS(B6*B3/SQRT(B1))</f>
        <v>3.1261654104530274</v>
      </c>
      <c r="G9" t="s">
        <v>10</v>
      </c>
      <c r="H9">
        <f>ABS(H6*H3/SQRT(H1))</f>
        <v>4.1690268703801108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05ECD-50DB-4593-9EE1-317665E9D83C}">
  <dimension ref="A1:E9"/>
  <sheetViews>
    <sheetView workbookViewId="0">
      <selection activeCell="D5" sqref="D5:E9"/>
    </sheetView>
  </sheetViews>
  <sheetFormatPr defaultRowHeight="15"/>
  <cols>
    <col min="1" max="1" width="15.28515625" bestFit="1" customWidth="1"/>
    <col min="4" max="4" width="15.7109375" bestFit="1" customWidth="1"/>
  </cols>
  <sheetData>
    <row r="1" spans="1:5">
      <c r="A1" t="s">
        <v>0</v>
      </c>
      <c r="B1">
        <v>17</v>
      </c>
      <c r="D1" t="s">
        <v>0</v>
      </c>
      <c r="E1">
        <v>17</v>
      </c>
    </row>
    <row r="2" spans="1:5">
      <c r="A2" t="s">
        <v>1</v>
      </c>
      <c r="B2">
        <v>3650</v>
      </c>
      <c r="D2" t="s">
        <v>2</v>
      </c>
      <c r="E2">
        <v>55</v>
      </c>
    </row>
    <row r="3" spans="1:5">
      <c r="A3" t="s">
        <v>11</v>
      </c>
      <c r="B3">
        <v>55</v>
      </c>
      <c r="D3" t="s">
        <v>3</v>
      </c>
      <c r="E3">
        <v>0.95</v>
      </c>
    </row>
    <row r="4" spans="1:5">
      <c r="A4" t="s">
        <v>3</v>
      </c>
      <c r="B4">
        <v>0.95</v>
      </c>
      <c r="D4" t="s">
        <v>4</v>
      </c>
      <c r="E4">
        <f>1-E3</f>
        <v>5.0000000000000044E-2</v>
      </c>
    </row>
    <row r="5" spans="1:5">
      <c r="A5" t="s">
        <v>4</v>
      </c>
      <c r="B5">
        <f>1-B4</f>
        <v>5.0000000000000044E-2</v>
      </c>
      <c r="D5" t="s">
        <v>5</v>
      </c>
      <c r="E5">
        <f>_xlfn.CHISQ.INV(E4/2,E1-1)</f>
        <v>6.9076643534970037</v>
      </c>
    </row>
    <row r="6" spans="1:5">
      <c r="A6" t="s">
        <v>6</v>
      </c>
      <c r="B6">
        <f>_xlfn.T.INV(B5/2,B1-1)</f>
        <v>-2.119905299221255</v>
      </c>
      <c r="D6" t="s">
        <v>7</v>
      </c>
      <c r="E6">
        <f>_xlfn.CHISQ.INV.RT(E4/2,E1-1)</f>
        <v>28.845350723404756</v>
      </c>
    </row>
    <row r="7" spans="1:5">
      <c r="A7" t="s">
        <v>8</v>
      </c>
      <c r="B7">
        <f>B2+B6*B3/SQRT(B1)</f>
        <v>3621.7216093779548</v>
      </c>
      <c r="D7" t="s">
        <v>8</v>
      </c>
      <c r="E7">
        <f>(E1-1)*E2^2/E6</f>
        <v>1677.9133824408259</v>
      </c>
    </row>
    <row r="8" spans="1:5">
      <c r="A8" t="s">
        <v>9</v>
      </c>
      <c r="B8">
        <f>B2-B6*B3/SQRT(B1)</f>
        <v>3678.2783906220452</v>
      </c>
      <c r="D8" t="s">
        <v>9</v>
      </c>
      <c r="E8">
        <f>(E1-1)*E2^2/E5</f>
        <v>7006.7098693782809</v>
      </c>
    </row>
    <row r="9" spans="1:5">
      <c r="A9" t="s">
        <v>10</v>
      </c>
      <c r="B9">
        <f>ABS(B6*B3/SQRT(B1))</f>
        <v>28.278390622045386</v>
      </c>
      <c r="D9" t="s">
        <v>10</v>
      </c>
      <c r="E9">
        <f>E8-E2^2</f>
        <v>3981.7098693782809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B3439-118C-4D43-834B-06FAB83777E7}">
  <dimension ref="A1:E15"/>
  <sheetViews>
    <sheetView workbookViewId="0">
      <selection sqref="A1:E9"/>
    </sheetView>
  </sheetViews>
  <sheetFormatPr defaultColWidth="11.42578125" defaultRowHeight="14.85"/>
  <cols>
    <col min="1" max="1" width="12.140625" bestFit="1" customWidth="1"/>
  </cols>
  <sheetData>
    <row r="1" spans="1:5">
      <c r="A1" t="s">
        <v>12</v>
      </c>
      <c r="B1">
        <v>15</v>
      </c>
      <c r="D1" t="s">
        <v>10</v>
      </c>
      <c r="E1">
        <v>0.02</v>
      </c>
    </row>
    <row r="2" spans="1:5">
      <c r="A2" t="s">
        <v>0</v>
      </c>
      <c r="B2">
        <v>100</v>
      </c>
      <c r="D2" t="s">
        <v>3</v>
      </c>
      <c r="E2">
        <v>0.9</v>
      </c>
    </row>
    <row r="3" spans="1:5" ht="15">
      <c r="A3" t="s">
        <v>13</v>
      </c>
      <c r="B3">
        <f>B1/B2</f>
        <v>0.15</v>
      </c>
      <c r="D3" t="s">
        <v>4</v>
      </c>
      <c r="E3">
        <f>1-E2</f>
        <v>9.9999999999999978E-2</v>
      </c>
    </row>
    <row r="4" spans="1:5" ht="15">
      <c r="A4" t="s">
        <v>3</v>
      </c>
      <c r="B4">
        <v>0.95</v>
      </c>
      <c r="D4" t="s">
        <v>14</v>
      </c>
      <c r="E4">
        <f>_xlfn.NORM.S.INV(E3/2)</f>
        <v>-1.6448536269514726</v>
      </c>
    </row>
    <row r="5" spans="1:5" ht="15">
      <c r="A5" t="s">
        <v>4</v>
      </c>
      <c r="B5">
        <f>1-B4</f>
        <v>5.0000000000000044E-2</v>
      </c>
      <c r="D5" t="s">
        <v>0</v>
      </c>
      <c r="E5">
        <f>E4^2*B3*(1-B3)/E1^2</f>
        <v>862.39197599291322</v>
      </c>
    </row>
    <row r="6" spans="1:5" ht="15">
      <c r="A6" t="s">
        <v>14</v>
      </c>
      <c r="B6">
        <f>_xlfn.NORM.INV(B5/2,0,1)</f>
        <v>-1.9599639845400536</v>
      </c>
    </row>
    <row r="7" spans="1:5" ht="15">
      <c r="A7" t="s">
        <v>8</v>
      </c>
      <c r="B7">
        <f>B3+B6*SQRT(B3*(1-B3)/B2)</f>
        <v>8.0015287409427691E-2</v>
      </c>
    </row>
    <row r="8" spans="1:5" ht="15">
      <c r="A8" t="s">
        <v>9</v>
      </c>
      <c r="B8">
        <f>B3-B6*SQRT(B3*(1-B3)/B2)</f>
        <v>0.21998471259057228</v>
      </c>
    </row>
    <row r="9" spans="1:5" ht="15">
      <c r="A9" t="s">
        <v>10</v>
      </c>
      <c r="B9">
        <f>ABS(B6*SQRT(B3*(1-B3)/B2))</f>
        <v>6.9984712590572304E-2</v>
      </c>
    </row>
    <row r="10" spans="1:5" ht="15"/>
    <row r="11" spans="1:5" ht="15"/>
    <row r="12" spans="1:5" ht="15"/>
    <row r="13" spans="1:5" ht="15"/>
    <row r="14" spans="1:5" ht="15"/>
    <row r="15" spans="1:5" ht="1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B114C-9F9B-4873-B3AD-E792FBE86AC4}">
  <dimension ref="A1:E9"/>
  <sheetViews>
    <sheetView workbookViewId="0">
      <selection sqref="A1:B9"/>
    </sheetView>
  </sheetViews>
  <sheetFormatPr defaultRowHeight="15"/>
  <cols>
    <col min="1" max="1" width="12.140625" bestFit="1" customWidth="1"/>
    <col min="4" max="4" width="12.140625" bestFit="1" customWidth="1"/>
  </cols>
  <sheetData>
    <row r="1" spans="1:5">
      <c r="A1" t="s">
        <v>12</v>
      </c>
      <c r="B1">
        <v>36</v>
      </c>
      <c r="D1" t="s">
        <v>10</v>
      </c>
      <c r="E1">
        <f>B9/2</f>
        <v>1.1328524011615514E-2</v>
      </c>
    </row>
    <row r="2" spans="1:5">
      <c r="A2" t="s">
        <v>0</v>
      </c>
      <c r="B2">
        <v>500</v>
      </c>
      <c r="D2" t="s">
        <v>0</v>
      </c>
      <c r="E2">
        <f>B6^2*B3*(1-B3)/E1^2</f>
        <v>2000.0000000000007</v>
      </c>
    </row>
    <row r="3" spans="1:5">
      <c r="A3" t="s">
        <v>13</v>
      </c>
      <c r="B3">
        <f>B1/B2</f>
        <v>7.1999999999999995E-2</v>
      </c>
    </row>
    <row r="4" spans="1:5">
      <c r="A4" t="s">
        <v>3</v>
      </c>
      <c r="B4">
        <v>0.95</v>
      </c>
    </row>
    <row r="5" spans="1:5">
      <c r="A5" t="s">
        <v>4</v>
      </c>
      <c r="B5">
        <f>1-B4</f>
        <v>5.0000000000000044E-2</v>
      </c>
    </row>
    <row r="6" spans="1:5">
      <c r="A6" t="s">
        <v>14</v>
      </c>
      <c r="B6">
        <f>_xlfn.NORM.INV(B5/2,0,1)</f>
        <v>-1.9599639845400536</v>
      </c>
    </row>
    <row r="7" spans="1:5">
      <c r="A7" t="s">
        <v>8</v>
      </c>
      <c r="B7">
        <f>B3+B6*SQRT(B3*(1-B3)/B2)</f>
        <v>4.9342951976768967E-2</v>
      </c>
    </row>
    <row r="8" spans="1:5">
      <c r="A8" t="s">
        <v>9</v>
      </c>
      <c r="B8">
        <f>B3-B6*SQRT(B3*(1-B3)/B2)</f>
        <v>9.4657048023231022E-2</v>
      </c>
    </row>
    <row r="9" spans="1:5">
      <c r="A9" t="s">
        <v>10</v>
      </c>
      <c r="B9">
        <f>ABS(B6*SQRT(B3*(1-B3)/B2))</f>
        <v>2.2657048023231027E-2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C0CBF-4AD4-4D33-A866-B4531F623C1B}">
  <dimension ref="A1:B9"/>
  <sheetViews>
    <sheetView workbookViewId="0">
      <selection sqref="A1:B9"/>
    </sheetView>
  </sheetViews>
  <sheetFormatPr defaultRowHeight="15"/>
  <cols>
    <col min="1" max="1" width="12.140625" bestFit="1" customWidth="1"/>
  </cols>
  <sheetData>
    <row r="1" spans="1:2">
      <c r="A1" t="s">
        <v>12</v>
      </c>
      <c r="B1">
        <v>35</v>
      </c>
    </row>
    <row r="2" spans="1:2">
      <c r="A2" t="s">
        <v>0</v>
      </c>
      <c r="B2">
        <v>50</v>
      </c>
    </row>
    <row r="3" spans="1:2">
      <c r="A3" t="s">
        <v>13</v>
      </c>
      <c r="B3">
        <f>B1/B2</f>
        <v>0.7</v>
      </c>
    </row>
    <row r="4" spans="1:2">
      <c r="A4" t="s">
        <v>3</v>
      </c>
      <c r="B4">
        <v>0.98</v>
      </c>
    </row>
    <row r="5" spans="1:2">
      <c r="A5" t="s">
        <v>4</v>
      </c>
      <c r="B5">
        <f>1-B4</f>
        <v>2.0000000000000018E-2</v>
      </c>
    </row>
    <row r="6" spans="1:2">
      <c r="A6" t="s">
        <v>14</v>
      </c>
      <c r="B6">
        <f>_xlfn.NORM.INV(B5/2,0,1)</f>
        <v>-2.3263478740408408</v>
      </c>
    </row>
    <row r="7" spans="1:2">
      <c r="A7" t="s">
        <v>8</v>
      </c>
      <c r="B7">
        <f>B3+B6*SQRT(B3*(1-B3)/B2)</f>
        <v>0.54923542654048918</v>
      </c>
    </row>
    <row r="8" spans="1:2">
      <c r="A8" t="s">
        <v>9</v>
      </c>
      <c r="B8">
        <f>B3-B6*SQRT(B3*(1-B3)/B2)</f>
        <v>0.85076457345951073</v>
      </c>
    </row>
    <row r="9" spans="1:2">
      <c r="A9" t="s">
        <v>10</v>
      </c>
      <c r="B9">
        <f>ABS(B6*SQRT(B3*(1-B3)/B2))</f>
        <v>0.1507645734595108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E6737-180D-4505-8DA4-2D31936CC727}">
  <dimension ref="A1:B9"/>
  <sheetViews>
    <sheetView workbookViewId="0">
      <selection activeCell="A9" sqref="A9"/>
    </sheetView>
  </sheetViews>
  <sheetFormatPr defaultRowHeight="15"/>
  <cols>
    <col min="1" max="1" width="12.140625" bestFit="1" customWidth="1"/>
  </cols>
  <sheetData>
    <row r="1" spans="1:2">
      <c r="A1" t="s">
        <v>8</v>
      </c>
      <c r="B1">
        <v>0.25</v>
      </c>
    </row>
    <row r="2" spans="1:2">
      <c r="A2" t="s">
        <v>9</v>
      </c>
      <c r="B2">
        <v>0.31</v>
      </c>
    </row>
    <row r="3" spans="1:2">
      <c r="A3" t="s">
        <v>10</v>
      </c>
      <c r="B3">
        <f>(B2-B1)/2</f>
        <v>0.03</v>
      </c>
    </row>
    <row r="4" spans="1:2">
      <c r="A4" t="s">
        <v>13</v>
      </c>
      <c r="B4">
        <f>(B1+B2)/2</f>
        <v>0.28000000000000003</v>
      </c>
    </row>
    <row r="5" spans="1:2">
      <c r="A5" t="s">
        <v>3</v>
      </c>
      <c r="B5">
        <v>0.95</v>
      </c>
    </row>
    <row r="6" spans="1:2">
      <c r="A6" t="s">
        <v>4</v>
      </c>
      <c r="B6">
        <f>1-B5</f>
        <v>5.0000000000000044E-2</v>
      </c>
    </row>
    <row r="7" spans="1:2">
      <c r="A7" t="s">
        <v>14</v>
      </c>
      <c r="B7">
        <f>_xlfn.NORM.S.INV(B6/2)</f>
        <v>-1.9599639845400536</v>
      </c>
    </row>
    <row r="8" spans="1:2">
      <c r="A8" t="s">
        <v>0</v>
      </c>
      <c r="B8">
        <f>B7^2*B4*(1-B4)/B3^2</f>
        <v>860.48677583548374</v>
      </c>
    </row>
    <row r="9" spans="1:2">
      <c r="A9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850CF-8ED9-4121-B5EA-10C90E18BE9B}">
  <dimension ref="A1:E9"/>
  <sheetViews>
    <sheetView workbookViewId="0">
      <selection activeCell="H16" sqref="H16"/>
    </sheetView>
  </sheetViews>
  <sheetFormatPr defaultRowHeight="15"/>
  <cols>
    <col min="1" max="1" width="12.140625" bestFit="1" customWidth="1"/>
    <col min="4" max="4" width="12.140625" bestFit="1" customWidth="1"/>
  </cols>
  <sheetData>
    <row r="1" spans="1:5">
      <c r="A1" t="s">
        <v>12</v>
      </c>
      <c r="B1">
        <v>350</v>
      </c>
      <c r="D1" t="s">
        <v>12</v>
      </c>
      <c r="E1">
        <v>390</v>
      </c>
    </row>
    <row r="2" spans="1:5">
      <c r="A2" t="s">
        <v>0</v>
      </c>
      <c r="B2">
        <v>1000</v>
      </c>
      <c r="D2" t="s">
        <v>0</v>
      </c>
      <c r="E2">
        <v>1000</v>
      </c>
    </row>
    <row r="3" spans="1:5">
      <c r="A3" t="s">
        <v>13</v>
      </c>
      <c r="B3">
        <f>B1/B2</f>
        <v>0.35</v>
      </c>
      <c r="D3" t="s">
        <v>13</v>
      </c>
      <c r="E3">
        <f>E1/E2</f>
        <v>0.39</v>
      </c>
    </row>
    <row r="4" spans="1:5">
      <c r="A4" t="s">
        <v>3</v>
      </c>
      <c r="B4">
        <v>0.95</v>
      </c>
      <c r="D4" t="s">
        <v>3</v>
      </c>
      <c r="E4">
        <v>0.95</v>
      </c>
    </row>
    <row r="5" spans="1:5">
      <c r="A5" t="s">
        <v>4</v>
      </c>
      <c r="B5">
        <f>1-B4</f>
        <v>5.0000000000000044E-2</v>
      </c>
      <c r="D5" t="s">
        <v>4</v>
      </c>
      <c r="E5">
        <f>1-E4</f>
        <v>5.0000000000000044E-2</v>
      </c>
    </row>
    <row r="6" spans="1:5">
      <c r="A6" t="s">
        <v>14</v>
      </c>
      <c r="B6">
        <f>_xlfn.NORM.INV(B5/2,0,1)</f>
        <v>-1.9599639845400536</v>
      </c>
      <c r="D6" t="s">
        <v>14</v>
      </c>
      <c r="E6">
        <f>_xlfn.NORM.INV(E5/2,0,1)</f>
        <v>-1.9599639845400536</v>
      </c>
    </row>
    <row r="7" spans="1:5">
      <c r="A7" t="s">
        <v>8</v>
      </c>
      <c r="B7">
        <f>B3+B6*SQRT(B3*(1-B3)/B2)</f>
        <v>0.32043766109205979</v>
      </c>
      <c r="D7" t="s">
        <v>8</v>
      </c>
      <c r="E7">
        <f>E3+E6*SQRT(E3*(1-E3)/E2)</f>
        <v>0.35976950127035395</v>
      </c>
    </row>
    <row r="8" spans="1:5">
      <c r="A8" t="s">
        <v>9</v>
      </c>
      <c r="B8">
        <f>B3-B6*SQRT(B3*(1-B3)/B2)</f>
        <v>0.37956233890794017</v>
      </c>
      <c r="D8" t="s">
        <v>9</v>
      </c>
      <c r="E8">
        <f>E3-E6*SQRT(E3*(1-E3)/E2)</f>
        <v>0.42023049872964607</v>
      </c>
    </row>
    <row r="9" spans="1:5">
      <c r="A9" t="s">
        <v>10</v>
      </c>
      <c r="B9">
        <f>ABS(B6*SQRT(B3*(1-B3)/B2))</f>
        <v>2.9562338907940168E-2</v>
      </c>
      <c r="D9" t="s">
        <v>10</v>
      </c>
      <c r="E9">
        <f>ABS(E6*SQRT(E3*(1-E3)/E2))</f>
        <v>3.023049872964606E-2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23093-CD6C-4C74-8675-9CC4668F4A8A}">
  <dimension ref="A1:F9"/>
  <sheetViews>
    <sheetView workbookViewId="0">
      <selection activeCell="F7" sqref="F7"/>
    </sheetView>
  </sheetViews>
  <sheetFormatPr defaultRowHeight="15"/>
  <cols>
    <col min="5" max="5" width="15.28515625" bestFit="1" customWidth="1"/>
  </cols>
  <sheetData>
    <row r="1" spans="1:6">
      <c r="A1" t="s">
        <v>15</v>
      </c>
      <c r="B1" t="s">
        <v>16</v>
      </c>
      <c r="C1" t="s">
        <v>17</v>
      </c>
      <c r="E1" t="s">
        <v>0</v>
      </c>
      <c r="F1">
        <f>COUNT(C2:C9)</f>
        <v>8</v>
      </c>
    </row>
    <row r="2" spans="1:6">
      <c r="A2">
        <v>147</v>
      </c>
      <c r="B2">
        <v>150</v>
      </c>
      <c r="C2">
        <f>B2-A2</f>
        <v>3</v>
      </c>
      <c r="E2" t="s">
        <v>1</v>
      </c>
      <c r="F2">
        <f>AVERAGE(C2:C9)</f>
        <v>4</v>
      </c>
    </row>
    <row r="3" spans="1:6">
      <c r="A3">
        <v>163</v>
      </c>
      <c r="B3">
        <v>171</v>
      </c>
      <c r="C3">
        <f t="shared" ref="C3:C9" si="0">B3-A3</f>
        <v>8</v>
      </c>
      <c r="E3" t="s">
        <v>11</v>
      </c>
      <c r="F3">
        <f>STDEV(C2:C9)</f>
        <v>5.7569833370313956</v>
      </c>
    </row>
    <row r="4" spans="1:6">
      <c r="A4">
        <v>121</v>
      </c>
      <c r="B4">
        <v>132</v>
      </c>
      <c r="C4">
        <f t="shared" si="0"/>
        <v>11</v>
      </c>
      <c r="E4" t="s">
        <v>3</v>
      </c>
      <c r="F4">
        <v>0.95</v>
      </c>
    </row>
    <row r="5" spans="1:6">
      <c r="A5">
        <v>205</v>
      </c>
      <c r="B5">
        <v>208</v>
      </c>
      <c r="C5">
        <f t="shared" si="0"/>
        <v>3</v>
      </c>
      <c r="E5" t="s">
        <v>4</v>
      </c>
      <c r="F5">
        <f>1-F4</f>
        <v>5.0000000000000044E-2</v>
      </c>
    </row>
    <row r="6" spans="1:6">
      <c r="A6">
        <v>132</v>
      </c>
      <c r="B6">
        <v>141</v>
      </c>
      <c r="C6">
        <f t="shared" si="0"/>
        <v>9</v>
      </c>
      <c r="E6" t="s">
        <v>6</v>
      </c>
      <c r="F6">
        <f>_xlfn.T.INV(F5/2,F1-1)</f>
        <v>-2.3646242515927849</v>
      </c>
    </row>
    <row r="7" spans="1:6">
      <c r="A7">
        <v>190</v>
      </c>
      <c r="B7">
        <v>184</v>
      </c>
      <c r="C7">
        <f t="shared" si="0"/>
        <v>-6</v>
      </c>
      <c r="E7" t="s">
        <v>8</v>
      </c>
      <c r="F7">
        <f>F2+F6*F3/SQRT(F1)</f>
        <v>-0.81295851523187856</v>
      </c>
    </row>
    <row r="8" spans="1:6">
      <c r="A8">
        <v>176</v>
      </c>
      <c r="B8">
        <v>182</v>
      </c>
      <c r="C8">
        <f t="shared" si="0"/>
        <v>6</v>
      </c>
      <c r="E8" t="s">
        <v>9</v>
      </c>
      <c r="F8">
        <f>F2-F6*F3/SQRT(F1)</f>
        <v>8.8129585152318786</v>
      </c>
    </row>
    <row r="9" spans="1:6">
      <c r="A9">
        <v>147</v>
      </c>
      <c r="B9">
        <v>145</v>
      </c>
      <c r="C9">
        <f t="shared" si="0"/>
        <v>-2</v>
      </c>
      <c r="E9" t="s">
        <v>10</v>
      </c>
      <c r="F9">
        <f>ABS(F6*F3/SQRT(F1))</f>
        <v>4.8129585152318786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14381-363B-419C-A3F3-4A97C45AD44A}">
  <dimension ref="A1:E15"/>
  <sheetViews>
    <sheetView workbookViewId="0">
      <selection activeCell="E11" sqref="E11"/>
    </sheetView>
  </sheetViews>
  <sheetFormatPr defaultColWidth="11.42578125" defaultRowHeight="14.85"/>
  <cols>
    <col min="1" max="1" width="23.42578125" customWidth="1"/>
    <col min="4" max="4" width="25" bestFit="1" customWidth="1"/>
    <col min="5" max="5" width="11.7109375" bestFit="1" customWidth="1"/>
  </cols>
  <sheetData>
    <row r="1" spans="1:5">
      <c r="A1" t="s">
        <v>18</v>
      </c>
      <c r="B1">
        <v>100</v>
      </c>
      <c r="D1" t="s">
        <v>19</v>
      </c>
      <c r="E1">
        <v>1630</v>
      </c>
    </row>
    <row r="2" spans="1:5">
      <c r="A2" t="s">
        <v>20</v>
      </c>
      <c r="B2">
        <v>120</v>
      </c>
      <c r="D2" t="s">
        <v>21</v>
      </c>
      <c r="E2">
        <v>1780</v>
      </c>
    </row>
    <row r="3" spans="1:5" ht="15">
      <c r="A3" t="s">
        <v>22</v>
      </c>
      <c r="B3">
        <v>150</v>
      </c>
      <c r="D3" t="s">
        <v>23</v>
      </c>
      <c r="E3">
        <f>((B1-1)*B5+(B2-1)*B6)/(B1+B2-2)</f>
        <v>24192.201834862386</v>
      </c>
    </row>
    <row r="4" spans="1:5" ht="15">
      <c r="A4" t="s">
        <v>24</v>
      </c>
      <c r="B4">
        <v>160</v>
      </c>
      <c r="D4" t="s">
        <v>25</v>
      </c>
      <c r="E4">
        <f>SQRT(E3)</f>
        <v>155.53842558950629</v>
      </c>
    </row>
    <row r="5" spans="1:5" ht="15">
      <c r="A5" t="s">
        <v>26</v>
      </c>
      <c r="B5">
        <f>B3^2</f>
        <v>22500</v>
      </c>
      <c r="D5" t="s">
        <v>3</v>
      </c>
      <c r="E5">
        <v>0.95</v>
      </c>
    </row>
    <row r="6" spans="1:5" ht="15">
      <c r="A6" t="s">
        <v>27</v>
      </c>
      <c r="B6">
        <f>B4^2</f>
        <v>25600</v>
      </c>
      <c r="D6" t="s">
        <v>4</v>
      </c>
      <c r="E6">
        <f>1-E5</f>
        <v>5.0000000000000044E-2</v>
      </c>
    </row>
    <row r="7" spans="1:5" ht="15">
      <c r="A7" t="s">
        <v>3</v>
      </c>
      <c r="B7">
        <v>0.95</v>
      </c>
      <c r="D7" t="s">
        <v>6</v>
      </c>
      <c r="E7">
        <f>_xlfn.T.INV(E6/2,B1+B2-2)</f>
        <v>-1.9709056010794814</v>
      </c>
    </row>
    <row r="8" spans="1:5" ht="15">
      <c r="A8" t="s">
        <v>4</v>
      </c>
      <c r="B8">
        <f>1-B7</f>
        <v>5.0000000000000044E-2</v>
      </c>
      <c r="D8" t="s">
        <v>8</v>
      </c>
      <c r="E8">
        <f>(E1-E2)+E7*E4*SQRT((B1+B2)/(B1*B2))</f>
        <v>-191.50727665230636</v>
      </c>
    </row>
    <row r="9" spans="1:5" ht="15">
      <c r="A9" t="s">
        <v>28</v>
      </c>
      <c r="B9">
        <f>_xlfn.F.INV(B8/2,B2-1,B1-1)</f>
        <v>0.68679200646997407</v>
      </c>
      <c r="D9" t="s">
        <v>9</v>
      </c>
      <c r="E9">
        <f>(E1-E2)-E7*E4*SQRT((B1+B2)/(B1*B2))</f>
        <v>-108.49272334769364</v>
      </c>
    </row>
    <row r="10" spans="1:5" ht="15">
      <c r="A10" t="s">
        <v>29</v>
      </c>
      <c r="B10">
        <f>_xlfn.F.INV.RT(B8/2,B2-1,B1-1)</f>
        <v>1.4657910082007841</v>
      </c>
      <c r="D10" t="s">
        <v>10</v>
      </c>
      <c r="E10">
        <f>ABS(E7*E4*SQRT((B1+B2)/(B1*B2)))</f>
        <v>41.507276652306352</v>
      </c>
    </row>
    <row r="11" spans="1:5" ht="15">
      <c r="A11" t="s">
        <v>8</v>
      </c>
      <c r="B11">
        <f>B5/B6*B9</f>
        <v>0.6036257869365006</v>
      </c>
    </row>
    <row r="12" spans="1:5" ht="15">
      <c r="A12" t="s">
        <v>9</v>
      </c>
      <c r="B12">
        <f>B5/B6*B10</f>
        <v>1.2882928783014704</v>
      </c>
    </row>
    <row r="13" spans="1:5" ht="15"/>
    <row r="14" spans="1:5" ht="15"/>
    <row r="15" spans="1:5" ht="15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4B91-3340-4EF6-B81A-513309F67E5C}">
  <dimension ref="A1:B10"/>
  <sheetViews>
    <sheetView workbookViewId="0">
      <selection activeCell="B11" sqref="B11"/>
    </sheetView>
  </sheetViews>
  <sheetFormatPr defaultColWidth="11.42578125" defaultRowHeight="14.85"/>
  <sheetData>
    <row r="1" spans="1:2">
      <c r="A1" t="s">
        <v>30</v>
      </c>
      <c r="B1">
        <v>0.52</v>
      </c>
    </row>
    <row r="2" spans="1:2">
      <c r="A2" t="s">
        <v>31</v>
      </c>
      <c r="B2">
        <v>0.4</v>
      </c>
    </row>
    <row r="3" spans="1:2">
      <c r="A3" t="s">
        <v>18</v>
      </c>
      <c r="B3">
        <v>1000</v>
      </c>
    </row>
    <row r="4" spans="1:2">
      <c r="A4" t="s">
        <v>20</v>
      </c>
      <c r="B4">
        <v>1000</v>
      </c>
    </row>
    <row r="5" spans="1:2">
      <c r="A5" t="s">
        <v>3</v>
      </c>
      <c r="B5">
        <v>0.95</v>
      </c>
    </row>
    <row r="6" spans="1:2">
      <c r="A6" t="s">
        <v>4</v>
      </c>
      <c r="B6">
        <f>1-B5</f>
        <v>5.0000000000000044E-2</v>
      </c>
    </row>
    <row r="7" spans="1:2">
      <c r="A7" t="s">
        <v>14</v>
      </c>
      <c r="B7">
        <f>_xlfn.NORM.INV(B6/2,0,1)</f>
        <v>-1.9599639845400536</v>
      </c>
    </row>
    <row r="8" spans="1:2">
      <c r="A8" t="s">
        <v>8</v>
      </c>
      <c r="B8">
        <f>(B1-B2)+B7*SQRT((B1*(1-B1))/B3+(B2*(1-B2))/B4)</f>
        <v>7.6632059783616147E-2</v>
      </c>
    </row>
    <row r="9" spans="1:2">
      <c r="A9" t="s">
        <v>9</v>
      </c>
      <c r="B9">
        <f>(B1-B2)-B7*SQRT((B1*(1-B1))/B3+(B2*(1-B2))/B4)</f>
        <v>0.16336794021638384</v>
      </c>
    </row>
    <row r="10" spans="1:2">
      <c r="A10" t="s">
        <v>10</v>
      </c>
      <c r="B10">
        <f>ABS(-B7*SQRT((B1*(1-B1))/B3+(B2*(1-B2))/B4))</f>
        <v>4.3367940216383842E-2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E1CBD-F517-4723-99AC-AA239B75C532}">
  <dimension ref="A1:G12"/>
  <sheetViews>
    <sheetView workbookViewId="0">
      <selection sqref="A1:B12"/>
    </sheetView>
  </sheetViews>
  <sheetFormatPr defaultColWidth="11.42578125" defaultRowHeight="14.85"/>
  <cols>
    <col min="1" max="1" width="17.7109375" bestFit="1" customWidth="1"/>
    <col min="5" max="5" width="17.7109375" bestFit="1" customWidth="1"/>
  </cols>
  <sheetData>
    <row r="1" spans="1:7">
      <c r="A1" t="s">
        <v>32</v>
      </c>
      <c r="B1" t="s">
        <v>33</v>
      </c>
      <c r="E1" t="s">
        <v>32</v>
      </c>
      <c r="F1" t="s">
        <v>33</v>
      </c>
    </row>
    <row r="2" spans="1:7">
      <c r="A2" t="s">
        <v>34</v>
      </c>
      <c r="B2" t="s">
        <v>35</v>
      </c>
      <c r="E2" t="s">
        <v>34</v>
      </c>
      <c r="F2" t="s">
        <v>36</v>
      </c>
    </row>
    <row r="3" spans="1:7">
      <c r="A3" t="s">
        <v>0</v>
      </c>
      <c r="B3">
        <v>20</v>
      </c>
      <c r="E3" t="s">
        <v>0</v>
      </c>
      <c r="F3">
        <v>20</v>
      </c>
    </row>
    <row r="4" spans="1:7">
      <c r="A4" t="s">
        <v>37</v>
      </c>
      <c r="B4">
        <v>4.8</v>
      </c>
      <c r="E4" t="s">
        <v>37</v>
      </c>
      <c r="F4">
        <v>4.8</v>
      </c>
    </row>
    <row r="5" spans="1:7">
      <c r="A5" t="s">
        <v>38</v>
      </c>
      <c r="B5">
        <v>5</v>
      </c>
      <c r="E5" t="s">
        <v>38</v>
      </c>
      <c r="F5">
        <v>5</v>
      </c>
    </row>
    <row r="6" spans="1:7">
      <c r="A6" t="s">
        <v>11</v>
      </c>
      <c r="B6">
        <v>0.4</v>
      </c>
      <c r="E6" t="s">
        <v>11</v>
      </c>
      <c r="F6">
        <v>0.4</v>
      </c>
    </row>
    <row r="7" spans="1:7">
      <c r="A7" t="s">
        <v>4</v>
      </c>
      <c r="B7">
        <v>0.1</v>
      </c>
      <c r="E7" t="s">
        <v>4</v>
      </c>
      <c r="F7">
        <v>0.1</v>
      </c>
    </row>
    <row r="8" spans="1:7">
      <c r="A8" t="s">
        <v>6</v>
      </c>
      <c r="B8">
        <f>_xlfn.T.INV(B7/2,B3-1)</f>
        <v>-1.7291328115213698</v>
      </c>
      <c r="E8" t="s">
        <v>6</v>
      </c>
      <c r="F8">
        <f>_xlfn.T.INV(1-F7,F3-1)</f>
        <v>1.3277282090267981</v>
      </c>
    </row>
    <row r="9" spans="1:7">
      <c r="A9" t="s">
        <v>39</v>
      </c>
      <c r="B9">
        <f>(B5-B4)/(B6/SQRT(B3))</f>
        <v>2.2360679774997916</v>
      </c>
      <c r="E9" t="s">
        <v>39</v>
      </c>
      <c r="F9">
        <f>(F5-F4)/(F6/SQRT(F3))</f>
        <v>2.2360679774997916</v>
      </c>
    </row>
    <row r="10" spans="1:7">
      <c r="A10" t="s">
        <v>40</v>
      </c>
      <c r="B10">
        <f>B8</f>
        <v>-1.7291328115213698</v>
      </c>
      <c r="C10">
        <f>-B8</f>
        <v>1.7291328115213698</v>
      </c>
      <c r="E10" t="s">
        <v>40</v>
      </c>
      <c r="F10" t="s">
        <v>41</v>
      </c>
      <c r="G10">
        <f>F8</f>
        <v>1.3277282090267981</v>
      </c>
    </row>
    <row r="11" spans="1:7">
      <c r="A11" t="s">
        <v>42</v>
      </c>
      <c r="B11">
        <f>_xlfn.T.DIST.2T(B9,B3-1)</f>
        <v>3.7540549548524912E-2</v>
      </c>
      <c r="E11" t="s">
        <v>42</v>
      </c>
      <c r="F11">
        <f>TDIST(F9,F3-1,1)</f>
        <v>1.8770274774262456E-2</v>
      </c>
    </row>
    <row r="12" spans="1:7">
      <c r="A12" t="s">
        <v>43</v>
      </c>
      <c r="B12" t="s">
        <v>44</v>
      </c>
      <c r="E12" t="s">
        <v>43</v>
      </c>
      <c r="F12" t="s">
        <v>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321A3-A983-4C7D-908A-69F368E29E85}">
  <dimension ref="A1:B10"/>
  <sheetViews>
    <sheetView workbookViewId="0">
      <selection sqref="A1:B10"/>
    </sheetView>
  </sheetViews>
  <sheetFormatPr defaultRowHeight="15"/>
  <cols>
    <col min="1" max="1" width="17.7109375" bestFit="1" customWidth="1"/>
    <col min="2" max="2" width="13" bestFit="1" customWidth="1"/>
  </cols>
  <sheetData>
    <row r="1" spans="1:2">
      <c r="A1" t="s">
        <v>32</v>
      </c>
      <c r="B1" t="s">
        <v>45</v>
      </c>
    </row>
    <row r="2" spans="1:2">
      <c r="A2" t="s">
        <v>34</v>
      </c>
      <c r="B2" t="s">
        <v>46</v>
      </c>
    </row>
    <row r="3" spans="1:2">
      <c r="A3" t="s">
        <v>0</v>
      </c>
      <c r="B3">
        <v>50</v>
      </c>
    </row>
    <row r="4" spans="1:2">
      <c r="A4" t="s">
        <v>37</v>
      </c>
      <c r="B4">
        <v>20</v>
      </c>
    </row>
    <row r="5" spans="1:2">
      <c r="A5" t="s">
        <v>38</v>
      </c>
      <c r="B5">
        <v>17</v>
      </c>
    </row>
    <row r="6" spans="1:2">
      <c r="A6" t="s">
        <v>11</v>
      </c>
      <c r="B6">
        <v>6</v>
      </c>
    </row>
    <row r="7" spans="1:2">
      <c r="A7" t="s">
        <v>4</v>
      </c>
      <c r="B7">
        <v>0.05</v>
      </c>
    </row>
    <row r="8" spans="1:2">
      <c r="A8" t="s">
        <v>39</v>
      </c>
      <c r="B8">
        <f>(B5-B4)/(B6/SQRT(B3))</f>
        <v>-3.5355339059327378</v>
      </c>
    </row>
    <row r="9" spans="1:2">
      <c r="A9" t="s">
        <v>42</v>
      </c>
      <c r="B9">
        <f>_xlfn.T.DIST(B8,B3-1,TRUE)</f>
        <v>4.5000148347440727E-4</v>
      </c>
    </row>
    <row r="10" spans="1:2">
      <c r="A10" t="s">
        <v>43</v>
      </c>
      <c r="B10" t="s">
        <v>44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1A95A-CB0D-46F3-A667-86AFBBFFDCB2}">
  <dimension ref="A1:B10"/>
  <sheetViews>
    <sheetView workbookViewId="0">
      <selection activeCell="B10" sqref="B10"/>
    </sheetView>
  </sheetViews>
  <sheetFormatPr defaultRowHeight="15"/>
  <cols>
    <col min="1" max="1" width="17" bestFit="1" customWidth="1"/>
    <col min="2" max="2" width="13" bestFit="1" customWidth="1"/>
  </cols>
  <sheetData>
    <row r="1" spans="1:2">
      <c r="A1" t="s">
        <v>32</v>
      </c>
      <c r="B1" t="s">
        <v>47</v>
      </c>
    </row>
    <row r="2" spans="1:2">
      <c r="A2" t="s">
        <v>34</v>
      </c>
      <c r="B2" t="s">
        <v>48</v>
      </c>
    </row>
    <row r="3" spans="1:2">
      <c r="A3" t="s">
        <v>0</v>
      </c>
      <c r="B3">
        <v>121</v>
      </c>
    </row>
    <row r="4" spans="1:2">
      <c r="A4" t="s">
        <v>37</v>
      </c>
      <c r="B4">
        <v>2150</v>
      </c>
    </row>
    <row r="5" spans="1:2">
      <c r="A5" t="s">
        <v>38</v>
      </c>
      <c r="B5">
        <v>2070</v>
      </c>
    </row>
    <row r="6" spans="1:2">
      <c r="A6" t="s">
        <v>11</v>
      </c>
      <c r="B6">
        <v>130</v>
      </c>
    </row>
    <row r="7" spans="1:2">
      <c r="A7" t="s">
        <v>4</v>
      </c>
      <c r="B7">
        <v>0.05</v>
      </c>
    </row>
    <row r="8" spans="1:2">
      <c r="A8" t="s">
        <v>39</v>
      </c>
      <c r="B8">
        <f>(B5-B4)/(B6/SQRT(B3))</f>
        <v>-6.7692307692307692</v>
      </c>
    </row>
    <row r="9" spans="1:2">
      <c r="A9" t="s">
        <v>42</v>
      </c>
      <c r="B9">
        <f>_xlfn.T.DIST.2T(ABS(B8),B3-1)</f>
        <v>5.0596551209732732E-10</v>
      </c>
    </row>
    <row r="10" spans="1:2">
      <c r="A10" t="s">
        <v>43</v>
      </c>
      <c r="B10" t="s">
        <v>44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108DF-5040-42AD-9424-DBD791D113E5}">
  <dimension ref="A1:B10"/>
  <sheetViews>
    <sheetView workbookViewId="0">
      <selection activeCell="B15" sqref="B15"/>
    </sheetView>
  </sheetViews>
  <sheetFormatPr defaultRowHeight="15"/>
  <cols>
    <col min="1" max="1" width="21.28515625" bestFit="1" customWidth="1"/>
  </cols>
  <sheetData>
    <row r="1" spans="1:2">
      <c r="A1" t="s">
        <v>32</v>
      </c>
      <c r="B1" t="s">
        <v>49</v>
      </c>
    </row>
    <row r="2" spans="1:2">
      <c r="A2" t="s">
        <v>34</v>
      </c>
      <c r="B2" t="s">
        <v>50</v>
      </c>
    </row>
    <row r="3" spans="1:2">
      <c r="A3" t="s">
        <v>0</v>
      </c>
      <c r="B3">
        <v>40</v>
      </c>
    </row>
    <row r="4" spans="1:2">
      <c r="A4" t="s">
        <v>51</v>
      </c>
      <c r="B4">
        <v>31</v>
      </c>
    </row>
    <row r="5" spans="1:2">
      <c r="A5" t="s">
        <v>52</v>
      </c>
      <c r="B5">
        <v>0.64</v>
      </c>
    </row>
    <row r="6" spans="1:2">
      <c r="A6" t="s">
        <v>53</v>
      </c>
      <c r="B6">
        <f>B4/B3</f>
        <v>0.77500000000000002</v>
      </c>
    </row>
    <row r="7" spans="1:2">
      <c r="A7" t="s">
        <v>4</v>
      </c>
      <c r="B7">
        <v>0.05</v>
      </c>
    </row>
    <row r="8" spans="1:2">
      <c r="A8" t="s">
        <v>39</v>
      </c>
      <c r="B8">
        <f>(B6-B5)/SQRT(B5*(1-B5)/B3)</f>
        <v>1.7787811838447136</v>
      </c>
    </row>
    <row r="9" spans="1:2">
      <c r="A9" t="s">
        <v>42</v>
      </c>
      <c r="B9">
        <f>1-_xlfn.NORM.S.DIST(B8,TRUE)</f>
        <v>3.7637821602419685E-2</v>
      </c>
    </row>
    <row r="10" spans="1:2">
      <c r="A10" t="s">
        <v>54</v>
      </c>
      <c r="B10" t="s">
        <v>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EEC1E-364E-4E26-9E0B-591F3E5084C4}">
  <dimension ref="A1:D25"/>
  <sheetViews>
    <sheetView workbookViewId="0">
      <selection activeCell="E35" sqref="E35"/>
    </sheetView>
  </sheetViews>
  <sheetFormatPr defaultColWidth="11.42578125" defaultRowHeight="14.85"/>
  <cols>
    <col min="3" max="3" width="17.42578125" customWidth="1"/>
  </cols>
  <sheetData>
    <row r="1" spans="1:4">
      <c r="A1" t="s">
        <v>56</v>
      </c>
      <c r="C1" t="s">
        <v>32</v>
      </c>
      <c r="D1" t="s">
        <v>45</v>
      </c>
    </row>
    <row r="2" spans="1:4">
      <c r="A2" s="1">
        <v>15</v>
      </c>
      <c r="C2" t="s">
        <v>34</v>
      </c>
      <c r="D2" t="s">
        <v>57</v>
      </c>
    </row>
    <row r="3" spans="1:4" ht="15">
      <c r="A3">
        <v>18</v>
      </c>
      <c r="C3" t="s">
        <v>0</v>
      </c>
      <c r="D3">
        <v>22</v>
      </c>
    </row>
    <row r="4" spans="1:4" ht="15">
      <c r="A4">
        <v>24</v>
      </c>
      <c r="C4" t="s">
        <v>37</v>
      </c>
      <c r="D4">
        <v>20</v>
      </c>
    </row>
    <row r="5" spans="1:4" ht="15">
      <c r="A5">
        <v>31</v>
      </c>
      <c r="C5" t="s">
        <v>38</v>
      </c>
      <c r="D5">
        <f>AVERAGE(A2:A23)</f>
        <v>19.5</v>
      </c>
    </row>
    <row r="6" spans="1:4" ht="15">
      <c r="A6">
        <v>22</v>
      </c>
      <c r="C6" t="s">
        <v>11</v>
      </c>
      <c r="D6">
        <f>STDEV(A2:A23)</f>
        <v>9.2979772505841805</v>
      </c>
    </row>
    <row r="7" spans="1:4" ht="15">
      <c r="A7">
        <v>12</v>
      </c>
      <c r="C7" t="s">
        <v>4</v>
      </c>
      <c r="D7">
        <v>0.1</v>
      </c>
    </row>
    <row r="8" spans="1:4" ht="15">
      <c r="A8">
        <v>6</v>
      </c>
      <c r="C8" t="s">
        <v>39</v>
      </c>
      <c r="D8">
        <f>(D5-D4)/(D6/SQRT(D3))</f>
        <v>-0.25222774983283253</v>
      </c>
    </row>
    <row r="9" spans="1:4" ht="15">
      <c r="A9">
        <v>35</v>
      </c>
      <c r="C9" t="s">
        <v>42</v>
      </c>
      <c r="D9">
        <f>_xlfn.T.DIST.2T(ABS(D8),D3-1)</f>
        <v>0.80331725988150582</v>
      </c>
    </row>
    <row r="10" spans="1:4" ht="15">
      <c r="A10">
        <v>42</v>
      </c>
      <c r="C10" t="s">
        <v>54</v>
      </c>
      <c r="D10" t="s">
        <v>58</v>
      </c>
    </row>
    <row r="11" spans="1:4" ht="15">
      <c r="A11">
        <v>2</v>
      </c>
    </row>
    <row r="12" spans="1:4" ht="15">
      <c r="A12">
        <v>16</v>
      </c>
    </row>
    <row r="13" spans="1:4" ht="15">
      <c r="A13">
        <v>25</v>
      </c>
    </row>
    <row r="14" spans="1:4" ht="15">
      <c r="A14">
        <v>20</v>
      </c>
    </row>
    <row r="15" spans="1:4" ht="15">
      <c r="A15">
        <v>10</v>
      </c>
    </row>
    <row r="16" spans="1:4" ht="15">
      <c r="A16">
        <v>17</v>
      </c>
    </row>
    <row r="17" spans="1:1" ht="15">
      <c r="A17">
        <v>19</v>
      </c>
    </row>
    <row r="18" spans="1:1" ht="15">
      <c r="A18">
        <v>14</v>
      </c>
    </row>
    <row r="19" spans="1:1" ht="15">
      <c r="A19">
        <v>30</v>
      </c>
    </row>
    <row r="20" spans="1:1" ht="15">
      <c r="A20">
        <v>14</v>
      </c>
    </row>
    <row r="21" spans="1:1" ht="15">
      <c r="A21">
        <v>23</v>
      </c>
    </row>
    <row r="22" spans="1:1" ht="15">
      <c r="A22">
        <v>15</v>
      </c>
    </row>
    <row r="23" spans="1:1" ht="15">
      <c r="A23">
        <v>19</v>
      </c>
    </row>
    <row r="24" spans="1:1" ht="15"/>
    <row r="25" spans="1:1" ht="15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4130-4415-4DC6-A409-3C6AEDE1B98C}">
  <dimension ref="A1:B9"/>
  <sheetViews>
    <sheetView tabSelected="1" workbookViewId="0">
      <selection activeCell="B10" sqref="B10"/>
    </sheetView>
  </sheetViews>
  <sheetFormatPr defaultRowHeight="15"/>
  <cols>
    <col min="1" max="1" width="21.5703125" bestFit="1" customWidth="1"/>
  </cols>
  <sheetData>
    <row r="1" spans="1:2">
      <c r="A1" t="s">
        <v>32</v>
      </c>
      <c r="B1" t="s">
        <v>59</v>
      </c>
    </row>
    <row r="2" spans="1:2">
      <c r="A2" t="s">
        <v>34</v>
      </c>
      <c r="B2" t="s">
        <v>60</v>
      </c>
    </row>
    <row r="3" spans="1:2">
      <c r="A3" t="s">
        <v>0</v>
      </c>
      <c r="B3">
        <v>15</v>
      </c>
    </row>
    <row r="4" spans="1:2">
      <c r="A4" t="s">
        <v>61</v>
      </c>
      <c r="B4">
        <v>9</v>
      </c>
    </row>
    <row r="5" spans="1:2">
      <c r="A5" t="s">
        <v>62</v>
      </c>
      <c r="B5">
        <f>3.5^2</f>
        <v>12.25</v>
      </c>
    </row>
    <row r="6" spans="1:2">
      <c r="A6" t="s">
        <v>4</v>
      </c>
      <c r="B6">
        <v>0.02</v>
      </c>
    </row>
    <row r="7" spans="1:2">
      <c r="A7" t="s">
        <v>39</v>
      </c>
      <c r="B7">
        <f>(B3-1)*B5/B4</f>
        <v>19.055555555555557</v>
      </c>
    </row>
    <row r="8" spans="1:2">
      <c r="A8" t="s">
        <v>42</v>
      </c>
      <c r="B8">
        <f>_xlfn.CHISQ.DIST.RT(B7,B3-1)*2</f>
        <v>0.32567457543005601</v>
      </c>
    </row>
    <row r="9" spans="1:2">
      <c r="A9" t="s">
        <v>54</v>
      </c>
      <c r="B9" t="s">
        <v>58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F25D3-2972-4151-B9E8-34D8906E9CEF}">
  <dimension ref="A1:E12"/>
  <sheetViews>
    <sheetView workbookViewId="0">
      <selection sqref="A1:B9"/>
    </sheetView>
  </sheetViews>
  <sheetFormatPr defaultColWidth="11.42578125" defaultRowHeight="14.85"/>
  <cols>
    <col min="1" max="1" width="23.28515625" customWidth="1"/>
    <col min="4" max="4" width="25" bestFit="1" customWidth="1"/>
  </cols>
  <sheetData>
    <row r="1" spans="1:5">
      <c r="A1" t="s">
        <v>18</v>
      </c>
      <c r="B1">
        <v>100</v>
      </c>
      <c r="D1" t="s">
        <v>19</v>
      </c>
      <c r="E1">
        <v>1630</v>
      </c>
    </row>
    <row r="2" spans="1:5">
      <c r="A2" t="s">
        <v>20</v>
      </c>
      <c r="B2">
        <v>120</v>
      </c>
      <c r="D2" t="s">
        <v>21</v>
      </c>
      <c r="E2">
        <v>1780</v>
      </c>
    </row>
    <row r="3" spans="1:5" ht="15">
      <c r="A3" t="s">
        <v>22</v>
      </c>
      <c r="B3">
        <v>150</v>
      </c>
      <c r="D3" t="s">
        <v>23</v>
      </c>
      <c r="E3">
        <f>((B1-1)*B5+(B2-1)*B6)/(B1+B2-2)</f>
        <v>24192.201834862386</v>
      </c>
    </row>
    <row r="4" spans="1:5" ht="15">
      <c r="A4" t="s">
        <v>24</v>
      </c>
      <c r="B4">
        <v>160</v>
      </c>
      <c r="D4" t="s">
        <v>25</v>
      </c>
      <c r="E4">
        <f>SQRT(E3)</f>
        <v>155.53842558950629</v>
      </c>
    </row>
    <row r="5" spans="1:5" ht="15">
      <c r="A5" t="s">
        <v>26</v>
      </c>
      <c r="B5">
        <f>B3^2</f>
        <v>22500</v>
      </c>
      <c r="D5" t="s">
        <v>3</v>
      </c>
      <c r="E5">
        <v>0.95</v>
      </c>
    </row>
    <row r="6" spans="1:5" ht="15">
      <c r="A6" t="s">
        <v>27</v>
      </c>
      <c r="B6">
        <f>B4^2</f>
        <v>25600</v>
      </c>
      <c r="D6" t="s">
        <v>4</v>
      </c>
      <c r="E6">
        <f>1-E5</f>
        <v>5.0000000000000044E-2</v>
      </c>
    </row>
    <row r="7" spans="1:5" ht="15">
      <c r="A7" t="s">
        <v>4</v>
      </c>
      <c r="B7">
        <v>0.05</v>
      </c>
      <c r="D7" t="s">
        <v>63</v>
      </c>
      <c r="E7">
        <f>(E1-E2)/(E4*SQRT((B1+B2)/(B1*B2)))</f>
        <v>-7.1225063171060929</v>
      </c>
    </row>
    <row r="8" spans="1:5" ht="15">
      <c r="A8" t="s">
        <v>64</v>
      </c>
      <c r="B8">
        <f>B5/B6</f>
        <v>0.87890625</v>
      </c>
      <c r="D8" t="s">
        <v>65</v>
      </c>
      <c r="E8">
        <f>_xlfn.T.DIST.2T(ABS(E7),B1+B2-2)</f>
        <v>1.5219901875321142E-11</v>
      </c>
    </row>
    <row r="9" spans="1:5" ht="15">
      <c r="A9" t="s">
        <v>66</v>
      </c>
      <c r="B9">
        <f>2*_xlfn.F.DIST(B8,B1-1,B2-1,TRUE)</f>
        <v>0.5079833817134547</v>
      </c>
    </row>
    <row r="10" spans="1:5" ht="15"/>
    <row r="11" spans="1:5" ht="15"/>
    <row r="12" spans="1:5" ht="1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5D8EF6601118A459BDBD59B135ED5C7" ma:contentTypeVersion="38" ma:contentTypeDescription="Crear nuevo documento." ma:contentTypeScope="" ma:versionID="cfdd7a7c8a976c1c659e0086db41545d">
  <xsd:schema xmlns:xsd="http://www.w3.org/2001/XMLSchema" xmlns:xs="http://www.w3.org/2001/XMLSchema" xmlns:p="http://schemas.microsoft.com/office/2006/metadata/properties" xmlns:ns3="24459aab-3cb7-41fd-991f-858672529413" xmlns:ns4="5f6d3a9b-301d-40b0-aa2e-400b335c2b3f" targetNamespace="http://schemas.microsoft.com/office/2006/metadata/properties" ma:root="true" ma:fieldsID="4ea753d56b0ed0316133775a95c6d6b1" ns3:_="" ns4:_="">
    <xsd:import namespace="24459aab-3cb7-41fd-991f-858672529413"/>
    <xsd:import namespace="5f6d3a9b-301d-40b0-aa2e-400b335c2b3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NotebookType" minOccurs="0"/>
                <xsd:element ref="ns4:FolderType" minOccurs="0"/>
                <xsd:element ref="ns4:CultureName" minOccurs="0"/>
                <xsd:element ref="ns4:AppVersion" minOccurs="0"/>
                <xsd:element ref="ns4:TeamsChannelId" minOccurs="0"/>
                <xsd:element ref="ns4:Owner" minOccurs="0"/>
                <xsd:element ref="ns4:Math_Settings" minOccurs="0"/>
                <xsd:element ref="ns4:DefaultSectionNames" minOccurs="0"/>
                <xsd:element ref="ns4:Templates" minOccurs="0"/>
                <xsd:element ref="ns4:Teachers" minOccurs="0"/>
                <xsd:element ref="ns4:Students" minOccurs="0"/>
                <xsd:element ref="ns4:Student_Groups" minOccurs="0"/>
                <xsd:element ref="ns4:Distribution_Groups" minOccurs="0"/>
                <xsd:element ref="ns4:LMS_Mappings" minOccurs="0"/>
                <xsd:element ref="ns4:Invited_Teachers" minOccurs="0"/>
                <xsd:element ref="ns4:Invited_Students" minOccurs="0"/>
                <xsd:element ref="ns4:Self_Registration_Enabled" minOccurs="0"/>
                <xsd:element ref="ns4:Has_Teacher_Only_SectionGroup" minOccurs="0"/>
                <xsd:element ref="ns4:Is_Collaboration_Space_Locked" minOccurs="0"/>
                <xsd:element ref="ns4:IsNotebookLocked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459aab-3cb7-41fd-991f-85867252941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6d3a9b-301d-40b0-aa2e-400b335c2b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NotebookType" ma:index="16" nillable="true" ma:displayName="Notebook Type" ma:internalName="NotebookType">
      <xsd:simpleType>
        <xsd:restriction base="dms:Text"/>
      </xsd:simpleType>
    </xsd:element>
    <xsd:element name="FolderType" ma:index="17" nillable="true" ma:displayName="Folder Type" ma:internalName="FolderType">
      <xsd:simpleType>
        <xsd:restriction base="dms:Text"/>
      </xsd:simpleType>
    </xsd:element>
    <xsd:element name="CultureName" ma:index="18" nillable="true" ma:displayName="Culture Name" ma:internalName="CultureName">
      <xsd:simpleType>
        <xsd:restriction base="dms:Text"/>
      </xsd:simpleType>
    </xsd:element>
    <xsd:element name="AppVersion" ma:index="19" nillable="true" ma:displayName="App Version" ma:internalName="AppVersion">
      <xsd:simpleType>
        <xsd:restriction base="dms:Text"/>
      </xsd:simpleType>
    </xsd:element>
    <xsd:element name="TeamsChannelId" ma:index="20" nillable="true" ma:displayName="Teams Channel Id" ma:internalName="TeamsChannelId">
      <xsd:simpleType>
        <xsd:restriction base="dms:Text"/>
      </xsd:simpleType>
    </xsd:element>
    <xsd:element name="Owner" ma:index="21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2" nillable="true" ma:displayName="Math Settings" ma:internalName="Math_Settings">
      <xsd:simpleType>
        <xsd:restriction base="dms:Text"/>
      </xsd:simpleType>
    </xsd:element>
    <xsd:element name="DefaultSectionNames" ma:index="23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4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5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6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7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8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9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0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1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2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3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4" nillable="true" ma:displayName="Is Collaboration Space Locked" ma:internalName="Is_Collaboration_Space_Locked">
      <xsd:simpleType>
        <xsd:restriction base="dms:Boolean"/>
      </xsd:simpleType>
    </xsd:element>
    <xsd:element name="IsNotebookLocked" ma:index="35" nillable="true" ma:displayName="Is Notebook Locked" ma:internalName="IsNotebookLocked">
      <xsd:simpleType>
        <xsd:restriction base="dms:Boolean"/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40" nillable="true" ma:displayName="Location" ma:internalName="MediaServiceLocation" ma:readOnly="true">
      <xsd:simpleType>
        <xsd:restriction base="dms:Text"/>
      </xsd:simpleType>
    </xsd:element>
    <xsd:element name="MediaLengthInSeconds" ma:index="41" nillable="true" ma:displayName="Length (seconds)" ma:internalName="MediaLengthInSeconds" ma:readOnly="true">
      <xsd:simpleType>
        <xsd:restriction base="dms:Unknown"/>
      </xsd:simpleType>
    </xsd:element>
    <xsd:element name="_activity" ma:index="42" nillable="true" ma:displayName="_activity" ma:hidden="true" ma:internalName="_activity">
      <xsd:simpleType>
        <xsd:restriction base="dms:Note"/>
      </xsd:simple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4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4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ultureName xmlns="5f6d3a9b-301d-40b0-aa2e-400b335c2b3f" xsi:nil="true"/>
    <Owner xmlns="5f6d3a9b-301d-40b0-aa2e-400b335c2b3f">
      <UserInfo>
        <DisplayName/>
        <AccountId xsi:nil="true"/>
        <AccountType/>
      </UserInfo>
    </Owner>
    <Students xmlns="5f6d3a9b-301d-40b0-aa2e-400b335c2b3f">
      <UserInfo>
        <DisplayName/>
        <AccountId xsi:nil="true"/>
        <AccountType/>
      </UserInfo>
    </Students>
    <Student_Groups xmlns="5f6d3a9b-301d-40b0-aa2e-400b335c2b3f">
      <UserInfo>
        <DisplayName/>
        <AccountId xsi:nil="true"/>
        <AccountType/>
      </UserInfo>
    </Student_Groups>
    <LMS_Mappings xmlns="5f6d3a9b-301d-40b0-aa2e-400b335c2b3f" xsi:nil="true"/>
    <NotebookType xmlns="5f6d3a9b-301d-40b0-aa2e-400b335c2b3f" xsi:nil="true"/>
    <AppVersion xmlns="5f6d3a9b-301d-40b0-aa2e-400b335c2b3f" xsi:nil="true"/>
    <IsNotebookLocked xmlns="5f6d3a9b-301d-40b0-aa2e-400b335c2b3f" xsi:nil="true"/>
    <_activity xmlns="5f6d3a9b-301d-40b0-aa2e-400b335c2b3f" xsi:nil="true"/>
    <Templates xmlns="5f6d3a9b-301d-40b0-aa2e-400b335c2b3f" xsi:nil="true"/>
    <Self_Registration_Enabled xmlns="5f6d3a9b-301d-40b0-aa2e-400b335c2b3f" xsi:nil="true"/>
    <Has_Teacher_Only_SectionGroup xmlns="5f6d3a9b-301d-40b0-aa2e-400b335c2b3f" xsi:nil="true"/>
    <FolderType xmlns="5f6d3a9b-301d-40b0-aa2e-400b335c2b3f" xsi:nil="true"/>
    <Teachers xmlns="5f6d3a9b-301d-40b0-aa2e-400b335c2b3f">
      <UserInfo>
        <DisplayName/>
        <AccountId xsi:nil="true"/>
        <AccountType/>
      </UserInfo>
    </Teachers>
    <Distribution_Groups xmlns="5f6d3a9b-301d-40b0-aa2e-400b335c2b3f" xsi:nil="true"/>
    <TeamsChannelId xmlns="5f6d3a9b-301d-40b0-aa2e-400b335c2b3f" xsi:nil="true"/>
    <Math_Settings xmlns="5f6d3a9b-301d-40b0-aa2e-400b335c2b3f" xsi:nil="true"/>
    <Invited_Students xmlns="5f6d3a9b-301d-40b0-aa2e-400b335c2b3f" xsi:nil="true"/>
    <DefaultSectionNames xmlns="5f6d3a9b-301d-40b0-aa2e-400b335c2b3f" xsi:nil="true"/>
    <Is_Collaboration_Space_Locked xmlns="5f6d3a9b-301d-40b0-aa2e-400b335c2b3f" xsi:nil="true"/>
    <Invited_Teachers xmlns="5f6d3a9b-301d-40b0-aa2e-400b335c2b3f" xsi:nil="true"/>
  </documentManagement>
</p:properties>
</file>

<file path=customXml/itemProps1.xml><?xml version="1.0" encoding="utf-8"?>
<ds:datastoreItem xmlns:ds="http://schemas.openxmlformats.org/officeDocument/2006/customXml" ds:itemID="{B583D474-8EA0-4151-9D3B-4ECF0A63F27F}"/>
</file>

<file path=customXml/itemProps2.xml><?xml version="1.0" encoding="utf-8"?>
<ds:datastoreItem xmlns:ds="http://schemas.openxmlformats.org/officeDocument/2006/customXml" ds:itemID="{9B461BA2-5B58-49A0-98FD-E5A11A7E810C}"/>
</file>

<file path=customXml/itemProps3.xml><?xml version="1.0" encoding="utf-8"?>
<ds:datastoreItem xmlns:ds="http://schemas.openxmlformats.org/officeDocument/2006/customXml" ds:itemID="{05A72ACB-C6CB-43C4-A81C-59AC450034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Alfredo Sánchez Alberca</dc:creator>
  <cp:keywords/>
  <dc:description/>
  <cp:lastModifiedBy/>
  <cp:revision/>
  <dcterms:created xsi:type="dcterms:W3CDTF">2025-10-18T07:12:19Z</dcterms:created>
  <dcterms:modified xsi:type="dcterms:W3CDTF">2025-10-19T23:09:16Z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0x01010025D8EF6601118A459BDBD59B135ED5C7</vt:lpwstr>
  </property>
</Properties>
</file>